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ummary" sheetId="1" state="visible" r:id="rId3"/>
    <sheet name="GPU 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<sst xmlns="http://schemas.openxmlformats.org/spreadsheetml/2006/main" count="105" uniqueCount="95">
  <si>
    <t xml:space="preserve">TOA vLLM / LLM-D Hackathon — GPU Cost Estimate</t>
  </si>
  <si>
    <t xml:space="preserve">April 25, 2026 | The Open Accelerator, Fortpoint, Boston</t>
  </si>
  <si>
    <t xml:space="preserve">Assumptions</t>
  </si>
  <si>
    <t xml:space="preserve">Total event window (hours)</t>
  </si>
  <si>
    <t xml:space="preserve">9:30 AM – 6 PM including setup/teardown buffer</t>
  </si>
  <si>
    <t xml:space="preserve">Total teams</t>
  </si>
  <si>
    <t xml:space="preserve">Teams on Tier 1 (App Builder)</t>
  </si>
  <si>
    <t xml:space="preserve">Teams on Tier 2 (Performance)</t>
  </si>
  <si>
    <t xml:space="preserve">Teams on Tier 3 (Deep Tech)</t>
  </si>
  <si>
    <t xml:space="preserve">Team count check</t>
  </si>
  <si>
    <t xml:space="preserve">GPU Hourly Rates</t>
  </si>
  <si>
    <t xml:space="preserve">Tier</t>
  </si>
  <si>
    <t xml:space="preserve">GPU Config</t>
  </si>
  <si>
    <t xml:space="preserve">GPUs per Instance</t>
  </si>
  <si>
    <t xml:space="preserve">$/GPU/Hour</t>
  </si>
  <si>
    <t xml:space="preserve">$/Instance/Hour</t>
  </si>
  <si>
    <t xml:space="preserve">Instances</t>
  </si>
  <si>
    <t xml:space="preserve">Total $/Hour</t>
  </si>
  <si>
    <t xml:space="preserve">Tier 1: App Builder</t>
  </si>
  <si>
    <t xml:space="preserve">1× L40S (48GB)</t>
  </si>
  <si>
    <t xml:space="preserve">Tier 2: Performance</t>
  </si>
  <si>
    <t xml:space="preserve">2× A100 80GB</t>
  </si>
  <si>
    <t xml:space="preserve">Tier 3: Deep Tech</t>
  </si>
  <si>
    <t xml:space="preserve">4× A100 80GB</t>
  </si>
  <si>
    <t xml:space="preserve">Totals</t>
  </si>
  <si>
    <t xml:space="preserve">Total Cost Estimate</t>
  </si>
  <si>
    <t xml:space="preserve">Hourly cost (all instances)</t>
  </si>
  <si>
    <t xml:space="preserve">Event duration (hours)</t>
  </si>
  <si>
    <t xml:space="preserve">Total GPU compute cost</t>
  </si>
  <si>
    <t xml:space="preserve">Buffer / contingency (15%)</t>
  </si>
  <si>
    <t xml:space="preserve">Total with contingency</t>
  </si>
  <si>
    <t xml:space="preserve">Scenario Comparison</t>
  </si>
  <si>
    <t xml:space="preserve">Scenario</t>
  </si>
  <si>
    <t xml:space="preserve">Tier 1 Teams</t>
  </si>
  <si>
    <t xml:space="preserve">Tier 2 Teams</t>
  </si>
  <si>
    <t xml:space="preserve">Tier 3 Teams</t>
  </si>
  <si>
    <t xml:space="preserve">Total Cost</t>
  </si>
  <si>
    <t xml:space="preserve">With Contingency</t>
  </si>
  <si>
    <t xml:space="preserve">Current plan (15/10/5)</t>
  </si>
  <si>
    <t xml:space="preserve">App-heavy (25/7/3)</t>
  </si>
  <si>
    <t xml:space="preserve">Perf-heavy (15/13/7)</t>
  </si>
  <si>
    <t xml:space="preserve">Budget (all Tier 1)</t>
  </si>
  <si>
    <t xml:space="preserve">Notes</t>
  </si>
  <si>
    <t xml:space="preserve">• Yellow cells with blue text are editable inputs — adjust to model your scenario</t>
  </si>
  <si>
    <t xml:space="preserve">• GPU hourly rates are market averages (March 2026) and will vary by Brev cloud provider</t>
  </si>
  <si>
    <t xml:space="preserve">• H100s available at similar or slightly higher rates — check Brev console for live pricing</t>
  </si>
  <si>
    <t xml:space="preserve">• Consider negotiating a sponsored GPU allocation with NVIDIA for hackathon events</t>
  </si>
  <si>
    <t xml:space="preserve">GPU Comparison for Hackathon Planning</t>
  </si>
  <si>
    <t xml:space="preserve">GPU Model</t>
  </si>
  <si>
    <t xml:space="preserve">Architecture</t>
  </si>
  <si>
    <t xml:space="preserve">VRAM</t>
  </si>
  <si>
    <t xml:space="preserve">FP16 TFLOPS</t>
  </si>
  <si>
    <t xml:space="preserve">Cloud $/hr (avg)</t>
  </si>
  <si>
    <t xml:space="preserve">Best For</t>
  </si>
  <si>
    <t xml:space="preserve">Can Run 8B?</t>
  </si>
  <si>
    <t xml:space="preserve">Can Run 70B?</t>
  </si>
  <si>
    <t xml:space="preserve">L40S</t>
  </si>
  <si>
    <t xml:space="preserve">Ada Lovelace</t>
  </si>
  <si>
    <t xml:space="preserve">48 GB</t>
  </si>
  <si>
    <t xml:space="preserve">App building, single-model inference</t>
  </si>
  <si>
    <t xml:space="preserve">Yes (1 GPU)</t>
  </si>
  <si>
    <t xml:space="preserve">No</t>
  </si>
  <si>
    <t xml:space="preserve">A100 40GB</t>
  </si>
  <si>
    <t xml:space="preserve">Ampere</t>
  </si>
  <si>
    <t xml:space="preserve">40 GB</t>
  </si>
  <si>
    <t xml:space="preserve">Development, smaller models</t>
  </si>
  <si>
    <t xml:space="preserve">A100 80GB</t>
  </si>
  <si>
    <t xml:space="preserve">80 GB</t>
  </si>
  <si>
    <t xml:space="preserve">Large models, multi-GPU training</t>
  </si>
  <si>
    <t xml:space="preserve">Yes (2 GPUs)</t>
  </si>
  <si>
    <t xml:space="preserve">H100</t>
  </si>
  <si>
    <t xml:space="preserve">Hopper</t>
  </si>
  <si>
    <t xml:space="preserve">Max performance, large-scale inference</t>
  </si>
  <si>
    <t xml:space="preserve">Model Memory Requirements (approximate, FP16)</t>
  </si>
  <si>
    <t xml:space="preserve">Model</t>
  </si>
  <si>
    <t xml:space="preserve">Parameters</t>
  </si>
  <si>
    <t xml:space="preserve">FP16 Memory</t>
  </si>
  <si>
    <t xml:space="preserve">INT8 Memory</t>
  </si>
  <si>
    <t xml:space="preserve">INT4 (GPTQ) Memory</t>
  </si>
  <si>
    <t xml:space="preserve">Min GPUs (FP16)</t>
  </si>
  <si>
    <t xml:space="preserve">Llama 3.1 8B</t>
  </si>
  <si>
    <t xml:space="preserve">8B</t>
  </si>
  <si>
    <t xml:space="preserve">~16 GB</t>
  </si>
  <si>
    <t xml:space="preserve">~8 GB</t>
  </si>
  <si>
    <t xml:space="preserve">~4 GB</t>
  </si>
  <si>
    <t xml:space="preserve">1× L40S / A100</t>
  </si>
  <si>
    <t xml:space="preserve">Llama 3.1 70B</t>
  </si>
  <si>
    <t xml:space="preserve">70B</t>
  </si>
  <si>
    <t xml:space="preserve">~140 GB</t>
  </si>
  <si>
    <t xml:space="preserve">~70 GB</t>
  </si>
  <si>
    <t xml:space="preserve">~35 GB</t>
  </si>
  <si>
    <t xml:space="preserve">Mistral 7B</t>
  </si>
  <si>
    <t xml:space="preserve">7B</t>
  </si>
  <si>
    <t xml:space="preserve">~14 GB</t>
  </si>
  <si>
    <t xml:space="preserve">~7 GB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</si>
</sst>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2F5496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496"/>
        <bgColor rgb="FF0066CC"/>
      </patternFill>
    </fill>
    <fill>
      <patternFill patternType="solid">
        <fgColor rgb="FFD6E4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8</v>
      </c>
      <c r="C5" s="5" t="s">
        <v>4</v>
      </c>
    </row>
    <row r="6" customFormat="false" ht="15" hidden="false" customHeight="false" outlineLevel="0" collapsed="false">
      <c r="A6" s="0" t="s">
        <v>5</v>
      </c>
      <c r="B6" s="4" t="n">
        <v>35</v>
      </c>
    </row>
    <row r="7" customFormat="false" ht="15" hidden="false" customHeight="false" outlineLevel="0" collapsed="false">
      <c r="A7" s="0" t="s">
        <v>6</v>
      </c>
      <c r="B7" s="4" t="n">
        <v>20</v>
      </c>
    </row>
    <row r="8" customFormat="false" ht="15" hidden="false" customHeight="false" outlineLevel="0" collapsed="false">
      <c r="A8" s="0" t="s">
        <v>7</v>
      </c>
      <c r="B8" s="4" t="n">
        <v>10</v>
      </c>
    </row>
    <row r="9" customFormat="false" ht="15" hidden="false" customHeight="false" outlineLevel="0" collapsed="false">
      <c r="A9" s="0" t="s">
        <v>8</v>
      </c>
      <c r="B9" s="4" t="n">
        <v>5</v>
      </c>
    </row>
    <row r="10" customFormat="false" ht="15" hidden="false" customHeight="false" outlineLevel="0" collapsed="false">
      <c r="A10" s="0" t="s">
        <v>9</v>
      </c>
      <c r="B10" s="6" t="n">
        <f aca="false">B7+B8+B9</f>
        <v>35</v>
      </c>
      <c r="C10" s="5" t="str">
        <f aca="false">IF(B10=B6,"✓ Matches","⚠ Mismatch")</f>
        <v>✓ Matches</v>
      </c>
    </row>
    <row r="12" customFormat="false" ht="15" hidden="false" customHeight="false" outlineLevel="0" collapsed="false">
      <c r="A12" s="3" t="s">
        <v>10</v>
      </c>
    </row>
    <row r="13" customFormat="false" ht="26.85" hidden="false" customHeight="false" outlineLevel="0" collapsed="false">
      <c r="A13" s="7" t="s">
        <v>11</v>
      </c>
      <c r="B13" s="7" t="s">
        <v>12</v>
      </c>
      <c r="C13" s="7" t="s">
        <v>13</v>
      </c>
      <c r="D13" s="7" t="s">
        <v>14</v>
      </c>
      <c r="E13" s="7" t="s">
        <v>15</v>
      </c>
      <c r="F13" s="7" t="s">
        <v>16</v>
      </c>
      <c r="G13" s="7" t="s">
        <v>17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n">
        <v>1</v>
      </c>
      <c r="D14" s="8" t="n">
        <v>1.27</v>
      </c>
      <c r="E14" s="9" t="n">
        <f aca="false">C14*D14</f>
        <v>1.27</v>
      </c>
      <c r="F14" s="0" t="n">
        <f aca="false">B7</f>
        <v>20</v>
      </c>
      <c r="G14" s="9" t="n">
        <f aca="false">E14*F14</f>
        <v>25.4</v>
      </c>
    </row>
    <row r="15" customFormat="false" ht="15" hidden="false" customHeight="false" outlineLevel="0" collapsed="false">
      <c r="A15" s="0" t="s">
        <v>20</v>
      </c>
      <c r="B15" s="0" t="s">
        <v>21</v>
      </c>
      <c r="C15" s="0" t="n">
        <v>2</v>
      </c>
      <c r="D15" s="8" t="n">
        <v>2.5</v>
      </c>
      <c r="E15" s="9" t="n">
        <f aca="false">C15*D15</f>
        <v>5</v>
      </c>
      <c r="F15" s="0" t="n">
        <f aca="false">B8</f>
        <v>10</v>
      </c>
      <c r="G15" s="9" t="n">
        <f aca="false">E15*F15</f>
        <v>50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n">
        <v>4</v>
      </c>
      <c r="D16" s="8" t="n">
        <v>2.5</v>
      </c>
      <c r="E16" s="9" t="n">
        <f aca="false">C16*D16</f>
        <v>10</v>
      </c>
      <c r="F16" s="0" t="n">
        <f aca="false">B9</f>
        <v>5</v>
      </c>
      <c r="G16" s="9" t="n">
        <f aca="false">E16*F16</f>
        <v>50</v>
      </c>
    </row>
    <row r="18" customFormat="false" ht="15" hidden="false" customHeight="false" outlineLevel="0" collapsed="false">
      <c r="A18" s="10" t="s">
        <v>24</v>
      </c>
      <c r="F18" s="10" t="n">
        <f aca="false">SUM(F14:F16)</f>
        <v>35</v>
      </c>
      <c r="G18" s="11" t="n">
        <f aca="false">SUM(G14:G16)</f>
        <v>125.4</v>
      </c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0" t="s">
        <v>26</v>
      </c>
      <c r="B21" s="9" t="n">
        <f aca="false">G18</f>
        <v>125.4</v>
      </c>
    </row>
    <row r="22" customFormat="false" ht="15" hidden="false" customHeight="false" outlineLevel="0" collapsed="false">
      <c r="A22" s="0" t="s">
        <v>27</v>
      </c>
      <c r="B22" s="0" t="n">
        <f aca="false">B5</f>
        <v>8</v>
      </c>
    </row>
    <row r="23" customFormat="false" ht="16.15" hidden="false" customHeight="false" outlineLevel="0" collapsed="false">
      <c r="A23" s="0" t="s">
        <v>28</v>
      </c>
      <c r="B23" s="12" t="n">
        <f aca="false">B21*B22</f>
        <v>1003.2</v>
      </c>
    </row>
    <row r="25" customFormat="false" ht="15" hidden="false" customHeight="false" outlineLevel="0" collapsed="false">
      <c r="A25" s="0" t="s">
        <v>29</v>
      </c>
      <c r="B25" s="13" t="n">
        <v>0.15</v>
      </c>
    </row>
    <row r="26" customFormat="false" ht="16.15" hidden="false" customHeight="false" outlineLevel="0" collapsed="false">
      <c r="A26" s="0" t="s">
        <v>30</v>
      </c>
      <c r="B26" s="12" t="n">
        <f aca="false">B23*(1+B25)</f>
        <v>1153.68</v>
      </c>
    </row>
    <row r="28" customFormat="false" ht="15" hidden="false" customHeight="false" outlineLevel="0" collapsed="false">
      <c r="A28" s="3" t="s">
        <v>31</v>
      </c>
    </row>
    <row r="29" customFormat="false" ht="26.85" hidden="false" customHeight="false" outlineLevel="0" collapsed="false">
      <c r="A29" s="7" t="s">
        <v>32</v>
      </c>
      <c r="B29" s="7" t="s">
        <v>33</v>
      </c>
      <c r="C29" s="7" t="s">
        <v>34</v>
      </c>
      <c r="D29" s="7" t="s">
        <v>35</v>
      </c>
      <c r="E29" s="7" t="s">
        <v>36</v>
      </c>
      <c r="F29" s="7" t="s">
        <v>37</v>
      </c>
    </row>
    <row r="30" customFormat="false" ht="15" hidden="false" customHeight="false" outlineLevel="0" collapsed="false">
      <c r="A30" s="0" t="s">
        <v>38</v>
      </c>
      <c r="B30" s="0" t="n">
        <v>20</v>
      </c>
      <c r="C30" s="0" t="n">
        <v>10</v>
      </c>
      <c r="D30" s="0" t="n">
        <v>5</v>
      </c>
      <c r="E30" s="14" t="n">
        <f aca="false">(B30*$E$14 + C30*$E$15 + D30*$E$16) * $B$5</f>
        <v>1003.2</v>
      </c>
      <c r="F30" s="14" t="n">
        <f aca="false">E30*(1+$B$25)</f>
        <v>1153.68</v>
      </c>
    </row>
    <row r="31" customFormat="false" ht="15" hidden="false" customHeight="false" outlineLevel="0" collapsed="false">
      <c r="A31" s="0" t="s">
        <v>39</v>
      </c>
      <c r="B31" s="0" t="n">
        <v>25</v>
      </c>
      <c r="C31" s="0" t="n">
        <v>7</v>
      </c>
      <c r="D31" s="0" t="n">
        <v>3</v>
      </c>
      <c r="E31" s="14" t="n">
        <f aca="false">(B31*$E$14 + C31*$E$15 + D31*$E$16) * $B$5</f>
        <v>774</v>
      </c>
      <c r="F31" s="14" t="n">
        <f aca="false">E31*(1+$B$25)</f>
        <v>890.1</v>
      </c>
    </row>
    <row r="32" customFormat="false" ht="15" hidden="false" customHeight="false" outlineLevel="0" collapsed="false">
      <c r="A32" s="0" t="s">
        <v>40</v>
      </c>
      <c r="B32" s="0" t="n">
        <v>15</v>
      </c>
      <c r="C32" s="0" t="n">
        <v>13</v>
      </c>
      <c r="D32" s="0" t="n">
        <v>7</v>
      </c>
      <c r="E32" s="14" t="n">
        <f aca="false">(B32*$E$14 + C32*$E$15 + D32*$E$16) * $B$5</f>
        <v>1232.4</v>
      </c>
      <c r="F32" s="14" t="n">
        <f aca="false">E32*(1+$B$25)</f>
        <v>1417.26</v>
      </c>
    </row>
    <row r="33" customFormat="false" ht="15" hidden="false" customHeight="false" outlineLevel="0" collapsed="false">
      <c r="A33" s="0" t="s">
        <v>41</v>
      </c>
      <c r="B33" s="0" t="n">
        <v>35</v>
      </c>
      <c r="C33" s="0" t="n">
        <v>0</v>
      </c>
      <c r="D33" s="0" t="n">
        <v>0</v>
      </c>
      <c r="E33" s="14" t="n">
        <f aca="false">(B33*$E$14 + C33*$E$15 + D33*$E$16) * $B$5</f>
        <v>355.6</v>
      </c>
      <c r="F33" s="14" t="n">
        <f aca="false">E33*(1+$B$25)</f>
        <v>408.94</v>
      </c>
    </row>
    <row r="35" customFormat="false" ht="15" hidden="false" customHeight="false" outlineLevel="0" collapsed="false">
      <c r="A35" s="3" t="s">
        <v>42</v>
      </c>
    </row>
    <row r="36" customFormat="false" ht="15" hidden="false" customHeight="false" outlineLevel="0" collapsed="false">
      <c r="A36" s="5" t="s">
        <v>43</v>
      </c>
    </row>
    <row r="37" customFormat="false" ht="15" hidden="false" customHeight="false" outlineLevel="0" collapsed="false">
      <c r="A37" s="5" t="s">
        <v>44</v>
      </c>
    </row>
    <row r="38" customFormat="false" ht="15" hidden="false" customHeight="false" outlineLevel="0" collapsed="false">
      <c r="A38" s="5" t="s">
        <v>45</v>
      </c>
    </row>
    <row r="39" customFormat="false" ht="15" hidden="false" customHeight="false" outlineLevel="0" collapsed="false">
      <c r="A39" s="5" t="s">
        <v>46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22"/>
  </cols>
  <sheetData>
    <row r="1" customFormat="false" ht="17.35" hidden="false" customHeight="false" outlineLevel="0" collapsed="false">
      <c r="A1" s="15" t="s">
        <v>47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  <c r="G3" s="7" t="s">
        <v>54</v>
      </c>
      <c r="H3" s="7" t="s">
        <v>55</v>
      </c>
    </row>
    <row r="4" customFormat="false" ht="15" hidden="false" customHeight="false" outlineLevel="0" collapsed="false">
      <c r="A4" s="16" t="s">
        <v>56</v>
      </c>
      <c r="B4" s="16" t="s">
        <v>57</v>
      </c>
      <c r="C4" s="16" t="s">
        <v>58</v>
      </c>
      <c r="D4" s="16" t="n">
        <v>362</v>
      </c>
      <c r="E4" s="17" t="n">
        <v>1.27</v>
      </c>
      <c r="F4" s="16" t="s">
        <v>59</v>
      </c>
      <c r="G4" s="16" t="s">
        <v>60</v>
      </c>
      <c r="H4" s="16" t="s">
        <v>61</v>
      </c>
    </row>
    <row r="5" customFormat="false" ht="15" hidden="false" customHeight="false" outlineLevel="0" collapsed="false">
      <c r="A5" s="16" t="s">
        <v>62</v>
      </c>
      <c r="B5" s="16" t="s">
        <v>63</v>
      </c>
      <c r="C5" s="16" t="s">
        <v>64</v>
      </c>
      <c r="D5" s="16" t="n">
        <v>312</v>
      </c>
      <c r="E5" s="17" t="n">
        <v>1.5</v>
      </c>
      <c r="F5" s="16" t="s">
        <v>65</v>
      </c>
      <c r="G5" s="16" t="s">
        <v>60</v>
      </c>
      <c r="H5" s="16" t="s">
        <v>61</v>
      </c>
    </row>
    <row r="6" customFormat="false" ht="15" hidden="false" customHeight="false" outlineLevel="0" collapsed="false">
      <c r="A6" s="16" t="s">
        <v>66</v>
      </c>
      <c r="B6" s="16" t="s">
        <v>63</v>
      </c>
      <c r="C6" s="16" t="s">
        <v>67</v>
      </c>
      <c r="D6" s="16" t="n">
        <v>312</v>
      </c>
      <c r="E6" s="17" t="n">
        <v>2.5</v>
      </c>
      <c r="F6" s="16" t="s">
        <v>68</v>
      </c>
      <c r="G6" s="16" t="s">
        <v>60</v>
      </c>
      <c r="H6" s="16" t="s">
        <v>69</v>
      </c>
    </row>
    <row r="7" customFormat="false" ht="15" hidden="false" customHeight="false" outlineLevel="0" collapsed="false">
      <c r="A7" s="16" t="s">
        <v>70</v>
      </c>
      <c r="B7" s="16" t="s">
        <v>71</v>
      </c>
      <c r="C7" s="16" t="s">
        <v>67</v>
      </c>
      <c r="D7" s="16" t="n">
        <v>990</v>
      </c>
      <c r="E7" s="17" t="n">
        <v>3.13</v>
      </c>
      <c r="F7" s="16" t="s">
        <v>72</v>
      </c>
      <c r="G7" s="16" t="s">
        <v>60</v>
      </c>
      <c r="H7" s="16" t="s">
        <v>69</v>
      </c>
    </row>
    <row r="9" customFormat="false" ht="15" hidden="false" customHeight="false" outlineLevel="0" collapsed="false">
      <c r="A9" s="3" t="s">
        <v>73</v>
      </c>
    </row>
    <row r="10" customFormat="false" ht="15" hidden="false" customHeight="false" outlineLevel="0" collapsed="false">
      <c r="A10" s="7" t="s">
        <v>74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79</v>
      </c>
    </row>
    <row r="11" customFormat="false" ht="15" hidden="false" customHeight="false" outlineLevel="0" collapsed="false">
      <c r="A11" s="16" t="s">
        <v>80</v>
      </c>
      <c r="B11" s="16" t="s">
        <v>81</v>
      </c>
      <c r="C11" s="16" t="s">
        <v>82</v>
      </c>
      <c r="D11" s="16" t="s">
        <v>83</v>
      </c>
      <c r="E11" s="16" t="s">
        <v>84</v>
      </c>
      <c r="F11" s="16" t="s">
        <v>85</v>
      </c>
    </row>
    <row r="12" customFormat="false" ht="15" hidden="false" customHeight="false" outlineLevel="0" collapsed="false">
      <c r="A12" s="16" t="s">
        <v>86</v>
      </c>
      <c r="B12" s="16" t="s">
        <v>87</v>
      </c>
      <c r="C12" s="16" t="s">
        <v>88</v>
      </c>
      <c r="D12" s="16" t="s">
        <v>89</v>
      </c>
      <c r="E12" s="16" t="s">
        <v>90</v>
      </c>
      <c r="F12" s="16" t="s">
        <v>21</v>
      </c>
    </row>
    <row r="13" customFormat="false" ht="15" hidden="false" customHeight="false" outlineLevel="0" collapsed="false">
      <c r="A13" s="16" t="s">
        <v>91</v>
      </c>
      <c r="B13" s="16" t="s">
        <v>92</v>
      </c>
      <c r="C13" s="16" t="s">
        <v>93</v>
      </c>
      <c r="D13" s="16" t="s">
        <v>94</v>
      </c>
      <c r="E13" s="16" t="s">
        <v>84</v>
      </c>
      <c r="F13" s="1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2026-03-30T19:27:05Z</dcterms:created>
  <dc:creator>openpyxl</dc:creator>
  <dc:description/>
  <dc:language>en-US</dc:language>
  <cp:lastModifiedBy/>
  <dcterms:modified xsi:type="dcterms:W3CDTF">2026-03-30T19:27:05Z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